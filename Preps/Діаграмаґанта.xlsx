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<sst xmlns="http://schemas.openxmlformats.org/spreadsheetml/2006/main" count="13" uniqueCount="13">
  <si>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Start Day</t>
  </si>
  <si>
    <t>Task</t>
  </si>
  <si>
    <t>Start Time</t>
  </si>
  <si>
    <t>End Time</t>
  </si>
  <si>
    <t>Done</t>
  </si>
  <si>
    <t>Огляд літератури, посилання на джерела</t>
  </si>
  <si>
    <t>Прогалини. Визначення мети дослідження</t>
  </si>
  <si>
    <t>Структурна схема</t>
  </si>
  <si>
    <t>Джерела даних</t>
  </si>
  <si>
    <t>Методи</t>
  </si>
  <si>
    <t>Результати експерименту</t>
  </si>
  <si>
    <t>Висновки</t>
  </si>
  <si>
    <t>Посилання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</si>
</sst>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;@"/>
    <numFmt numFmtId="179" formatCode="m/d/yyyy;@"/>
  </numFmts>
  <fonts count="21">
    <font>
      <sz val="11"/>
      <color theme="1"/>
      <name val="Calibri"/>
      <charset val="134"/>
      <scheme val="minor"/>
    </font>
    <font>
      <sz val="11"/>
      <color theme="1"/>
      <name val="Wingding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178" fontId="0" fillId="2" borderId="1" xfId="0" applyNumberFormat="1" applyFont="1" applyFill="1" applyBorder="1" applyAlignment="1">
      <alignment vertical="center" textRotation="90"/>
    </xf>
    <xf numFmtId="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center" vertical="center"/>
    </xf>
    <xf numFmtId="9" fontId="0" fillId="4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vertical="center"/>
    </xf>
    <xf numFmtId="178" fontId="0" fillId="2" borderId="1" xfId="0" applyNumberFormat="1" applyFont="1" applyFill="1" applyBorder="1" applyAlignment="1">
      <alignment vertical="center"/>
    </xf>
    <xf numFmtId="0" fontId="0" fillId="0" borderId="4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9" fontId="0" fillId="0" borderId="1" xfId="3" applyNumberFormat="1" applyFont="1" applyFill="1" applyBorder="1" applyAlignment="1" applyProtection="1">
      <alignment horizontal="center" vertical="center"/>
    </xf>
    <xf numFmtId="0" fontId="0" fillId="3" borderId="5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9" tint="-0.2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9" tint="0.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5" tint="-0.25"/>
        </left>
        <right style="thin">
          <color theme="5" tint="-0.25"/>
        </right>
        <top/>
        <bottom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"/>
  <sheetViews>
    <sheetView tabSelected="1" workbookViewId="0">
      <selection activeCell="A6" sqref="$A6:$XFD6"/>
    </sheetView>
  </sheetViews>
  <sheetFormatPr defaultColWidth="9.14285714285714" defaultRowHeight="15" zeroHeight="1"/>
  <cols>
    <col min="1" max="1" width="39.5714285714286" style="3" customWidth="1"/>
    <col min="2" max="2" width="10.5714285714286" style="4" customWidth="1"/>
    <col min="3" max="3" width="11.4285714285714" style="4" customWidth="1"/>
    <col min="4" max="4" width="9.71428571428571" style="5" customWidth="1"/>
    <col min="5" max="5" width="1.71428571428571" style="6" customWidth="1"/>
    <col min="6" max="7" width="6.57142857142857" style="7" customWidth="1"/>
    <col min="8" max="10" width="7.57142857142857" style="7" customWidth="1"/>
    <col min="11" max="11" width="6.28571428571429" style="7" customWidth="1"/>
    <col min="12" max="14" width="7.28571428571429" style="7" customWidth="1"/>
    <col min="15" max="15" width="6.85714285714286" style="7" customWidth="1"/>
    <col min="16" max="18" width="7.85714285714286" style="7" customWidth="1"/>
    <col min="19" max="20" width="6.57142857142857" style="7" customWidth="1"/>
    <col min="21" max="23" width="7.57142857142857" style="7" customWidth="1"/>
    <col min="24" max="24" width="6.14285714285714" style="7" customWidth="1"/>
    <col min="25" max="27" width="7.14285714285714" style="7" customWidth="1"/>
    <col min="28" max="29" width="6.57142857142857" style="7" customWidth="1"/>
    <col min="30" max="31" width="7.57142857142857" style="7" customWidth="1"/>
    <col min="32" max="33" width="6.71428571428571" style="7" customWidth="1"/>
    <col min="34" max="36" width="7.71428571428571" style="7" customWidth="1"/>
    <col min="37" max="37" width="6.42857142857143" style="7" customWidth="1"/>
    <col min="38" max="16383" width="9.14285714285714" style="7" hidden="1" customWidth="1"/>
    <col min="16384" max="16384" width="9.14285714285714" style="8" hidden="1" customWidth="1"/>
  </cols>
  <sheetData>
    <row r="1" s="1" customFormat="1" spans="1:17">
      <c r="A1" s="9" t="s">
        <v>0</v>
      </c>
      <c r="B1" s="10">
        <v>45901</v>
      </c>
      <c r="C1" s="11"/>
      <c r="D1" s="12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="2" customFormat="1" spans="1:37">
      <c r="A2" s="15" t="s">
        <v>1</v>
      </c>
      <c r="B2" s="16" t="s">
        <v>2</v>
      </c>
      <c r="C2" s="16" t="s">
        <v>3</v>
      </c>
      <c r="D2" s="17" t="s">
        <v>4</v>
      </c>
      <c r="E2" s="18"/>
      <c r="F2" s="19">
        <f>B1</f>
        <v>45901</v>
      </c>
      <c r="G2" s="19">
        <f t="shared" ref="G2:U2" si="0">F2+7</f>
        <v>45908</v>
      </c>
      <c r="H2" s="19">
        <f t="shared" si="0"/>
        <v>45915</v>
      </c>
      <c r="I2" s="19">
        <f t="shared" si="0"/>
        <v>45922</v>
      </c>
      <c r="J2" s="19">
        <f t="shared" si="0"/>
        <v>45929</v>
      </c>
      <c r="K2" s="19">
        <f t="shared" si="0"/>
        <v>45936</v>
      </c>
      <c r="L2" s="19">
        <f t="shared" si="0"/>
        <v>45943</v>
      </c>
      <c r="M2" s="19">
        <f t="shared" si="0"/>
        <v>45950</v>
      </c>
      <c r="N2" s="19">
        <f t="shared" si="0"/>
        <v>45957</v>
      </c>
      <c r="O2" s="19">
        <f t="shared" si="0"/>
        <v>45964</v>
      </c>
      <c r="P2" s="19">
        <f t="shared" si="0"/>
        <v>45971</v>
      </c>
      <c r="Q2" s="19">
        <f t="shared" si="0"/>
        <v>45978</v>
      </c>
      <c r="R2" s="19">
        <f t="shared" si="0"/>
        <v>45985</v>
      </c>
      <c r="S2" s="19">
        <f t="shared" si="0"/>
        <v>45992</v>
      </c>
      <c r="T2" s="19">
        <f t="shared" si="0"/>
        <v>45999</v>
      </c>
      <c r="U2" s="19">
        <f t="shared" si="0"/>
        <v>46006</v>
      </c>
      <c r="V2" s="19">
        <f t="shared" ref="V2:AK2" si="1">U2+7</f>
        <v>46013</v>
      </c>
      <c r="W2" s="19">
        <f t="shared" si="1"/>
        <v>46020</v>
      </c>
      <c r="X2" s="19">
        <f t="shared" si="1"/>
        <v>46027</v>
      </c>
      <c r="Y2" s="19">
        <f t="shared" si="1"/>
        <v>46034</v>
      </c>
      <c r="Z2" s="19">
        <f t="shared" si="1"/>
        <v>46041</v>
      </c>
      <c r="AA2" s="19">
        <f t="shared" si="1"/>
        <v>46048</v>
      </c>
      <c r="AB2" s="19">
        <f t="shared" si="1"/>
        <v>46055</v>
      </c>
      <c r="AC2" s="19">
        <f t="shared" si="1"/>
        <v>46062</v>
      </c>
      <c r="AD2" s="19">
        <f t="shared" si="1"/>
        <v>46069</v>
      </c>
      <c r="AE2" s="19">
        <f t="shared" si="1"/>
        <v>46076</v>
      </c>
      <c r="AF2" s="19">
        <f t="shared" si="1"/>
        <v>46083</v>
      </c>
      <c r="AG2" s="19">
        <f t="shared" si="1"/>
        <v>46090</v>
      </c>
      <c r="AH2" s="19">
        <f t="shared" si="1"/>
        <v>46097</v>
      </c>
      <c r="AI2" s="19">
        <f t="shared" si="1"/>
        <v>46104</v>
      </c>
      <c r="AJ2" s="19">
        <f t="shared" si="1"/>
        <v>46111</v>
      </c>
      <c r="AK2" s="19">
        <f t="shared" si="1"/>
        <v>46118</v>
      </c>
    </row>
    <row r="3" spans="1:37">
      <c r="A3" s="20" t="s">
        <v>5</v>
      </c>
      <c r="B3" s="21">
        <v>45901</v>
      </c>
      <c r="C3" s="21">
        <v>45951</v>
      </c>
      <c r="D3" s="22">
        <v>0.8</v>
      </c>
      <c r="E3" s="23"/>
      <c r="F3" s="7" t="str">
        <f>IF(($C3-WEEKDAY($C3,3))=F$2,"u","")</f>
        <v/>
      </c>
      <c r="G3" s="7" t="str">
        <f>IF(($C3-WEEKDAY($C3,3))=G$2,"u","")</f>
        <v/>
      </c>
      <c r="H3" s="7" t="str">
        <f>IF(($C3-WEEKDAY($C3,3))=H$2,"u","")</f>
        <v/>
      </c>
      <c r="I3" s="7" t="str">
        <f>IF(($C3-WEEKDAY($C3,3))=I$2,"u","")</f>
        <v/>
      </c>
      <c r="J3" s="7" t="str">
        <f>IF(($C3-WEEKDAY($C3,3))=J$2,"u","")</f>
        <v/>
      </c>
      <c r="K3" s="7" t="str">
        <f>IF(($C3-WEEKDAY($C3,3))=K$2,"u","")</f>
        <v/>
      </c>
      <c r="L3" s="7" t="str">
        <f>IF(($C3-WEEKDAY($C3,3))=L$2,"u","")</f>
        <v/>
      </c>
      <c r="M3" s="7" t="str">
        <f t="shared" ref="M3:AK3" si="2">IF(($C3-WEEKDAY($C3,3))=M$2,"u","")</f>
        <v>u</v>
      </c>
      <c r="N3" s="7" t="str">
        <f t="shared" si="2"/>
        <v/>
      </c>
      <c r="O3" s="7" t="str">
        <f t="shared" si="2"/>
        <v/>
      </c>
      <c r="P3" s="7" t="str">
        <f t="shared" si="2"/>
        <v/>
      </c>
      <c r="Q3" s="7" t="str">
        <f t="shared" si="2"/>
        <v/>
      </c>
      <c r="R3" s="7" t="str">
        <f t="shared" si="2"/>
        <v/>
      </c>
      <c r="S3" s="7" t="str">
        <f t="shared" si="2"/>
        <v/>
      </c>
      <c r="T3" s="7" t="str">
        <f t="shared" si="2"/>
        <v/>
      </c>
      <c r="U3" s="7" t="str">
        <f t="shared" si="2"/>
        <v/>
      </c>
      <c r="V3" s="7" t="str">
        <f t="shared" si="2"/>
        <v/>
      </c>
      <c r="W3" s="7" t="str">
        <f t="shared" si="2"/>
        <v/>
      </c>
      <c r="X3" s="7" t="str">
        <f t="shared" si="2"/>
        <v/>
      </c>
      <c r="Y3" s="7" t="str">
        <f t="shared" si="2"/>
        <v/>
      </c>
      <c r="Z3" s="7" t="str">
        <f t="shared" si="2"/>
        <v/>
      </c>
      <c r="AA3" s="7" t="str">
        <f t="shared" si="2"/>
        <v/>
      </c>
      <c r="AB3" s="7" t="str">
        <f t="shared" si="2"/>
        <v/>
      </c>
      <c r="AC3" s="7" t="str">
        <f t="shared" si="2"/>
        <v/>
      </c>
      <c r="AD3" s="7" t="str">
        <f t="shared" si="2"/>
        <v/>
      </c>
      <c r="AE3" s="7" t="str">
        <f t="shared" si="2"/>
        <v/>
      </c>
      <c r="AF3" s="7" t="str">
        <f t="shared" si="2"/>
        <v/>
      </c>
      <c r="AG3" s="7" t="str">
        <f t="shared" si="2"/>
        <v/>
      </c>
      <c r="AH3" s="7" t="str">
        <f t="shared" si="2"/>
        <v/>
      </c>
      <c r="AI3" s="7" t="str">
        <f t="shared" si="2"/>
        <v/>
      </c>
      <c r="AJ3" s="7" t="str">
        <f t="shared" si="2"/>
        <v/>
      </c>
      <c r="AK3" s="7" t="str">
        <f t="shared" si="2"/>
        <v/>
      </c>
    </row>
    <row r="4" spans="1:37">
      <c r="A4" s="3" t="s">
        <v>6</v>
      </c>
      <c r="B4" s="21">
        <v>45916</v>
      </c>
      <c r="C4" s="21">
        <v>45951</v>
      </c>
      <c r="D4" s="5">
        <v>0.6</v>
      </c>
      <c r="F4" s="7" t="str">
        <f t="shared" ref="F4:F10" si="3">IF(($C4-WEEKDAY($C4,3))=F$2,"u","")</f>
        <v/>
      </c>
      <c r="G4" s="7" t="str">
        <f t="shared" ref="G4:G10" si="4">IF(($C4-WEEKDAY($C4,3))=G$2,"u","")</f>
        <v/>
      </c>
      <c r="H4" s="7" t="str">
        <f t="shared" ref="H4:H10" si="5">IF(($C4-WEEKDAY($C4,3))=H$2,"u","")</f>
        <v/>
      </c>
      <c r="I4" s="7" t="str">
        <f>IF(($C4-WEEKDAY($C4,3))=I$2,"u","")</f>
        <v/>
      </c>
      <c r="J4" s="7" t="str">
        <f t="shared" ref="J4:J10" si="6">IF(($C4-WEEKDAY($C4,3))=J$2,"u","")</f>
        <v/>
      </c>
      <c r="K4" s="7" t="str">
        <f t="shared" ref="K4:K10" si="7">IF(($C4-WEEKDAY($C4,3))=K$2,"u","")</f>
        <v/>
      </c>
      <c r="L4" s="7" t="str">
        <f t="shared" ref="L4:L10" si="8">IF(($C4-WEEKDAY($C4,3))=L$2,"u","")</f>
        <v/>
      </c>
      <c r="M4" s="7" t="str">
        <f t="shared" ref="M4:M10" si="9">IF(($C4-WEEKDAY($C4,3))=M$2,"u","")</f>
        <v>u</v>
      </c>
      <c r="N4" s="7" t="str">
        <f t="shared" ref="N4:N10" si="10">IF(($C4-WEEKDAY($C4,3))=N$2,"u","")</f>
        <v/>
      </c>
      <c r="O4" s="7" t="str">
        <f t="shared" ref="O4:O10" si="11">IF(($C4-WEEKDAY($C4,3))=O$2,"u","")</f>
        <v/>
      </c>
      <c r="P4" s="7" t="str">
        <f t="shared" ref="P4:P10" si="12">IF(($C4-WEEKDAY($C4,3))=P$2,"u","")</f>
        <v/>
      </c>
      <c r="Q4" s="7" t="str">
        <f t="shared" ref="Q4:Q10" si="13">IF(($C4-WEEKDAY($C4,3))=Q$2,"u","")</f>
        <v/>
      </c>
      <c r="R4" s="7" t="str">
        <f t="shared" ref="R4:R10" si="14">IF(($C4-WEEKDAY($C4,3))=R$2,"u","")</f>
        <v/>
      </c>
      <c r="S4" s="7" t="str">
        <f t="shared" ref="S4:S10" si="15">IF(($C4-WEEKDAY($C4,3))=S$2,"u","")</f>
        <v/>
      </c>
      <c r="T4" s="7" t="str">
        <f t="shared" ref="T4:T10" si="16">IF(($C4-WEEKDAY($C4,3))=T$2,"u","")</f>
        <v/>
      </c>
      <c r="U4" s="7" t="str">
        <f t="shared" ref="U4:U10" si="17">IF(($C4-WEEKDAY($C4,3))=U$2,"u","")</f>
        <v/>
      </c>
      <c r="V4" s="7" t="str">
        <f t="shared" ref="V4:V10" si="18">IF(($C4-WEEKDAY($C4,3))=V$2,"u","")</f>
        <v/>
      </c>
      <c r="W4" s="7" t="str">
        <f t="shared" ref="W4:W10" si="19">IF(($C4-WEEKDAY($C4,3))=W$2,"u","")</f>
        <v/>
      </c>
      <c r="X4" s="7" t="str">
        <f t="shared" ref="X4:X10" si="20">IF(($C4-WEEKDAY($C4,3))=X$2,"u","")</f>
        <v/>
      </c>
      <c r="Y4" s="7" t="str">
        <f t="shared" ref="Y4:Y10" si="21">IF(($C4-WEEKDAY($C4,3))=Y$2,"u","")</f>
        <v/>
      </c>
      <c r="Z4" s="7" t="str">
        <f t="shared" ref="Z4:Z10" si="22">IF(($C4-WEEKDAY($C4,3))=Z$2,"u","")</f>
        <v/>
      </c>
      <c r="AA4" s="7" t="str">
        <f t="shared" ref="AA4:AA10" si="23">IF(($C4-WEEKDAY($C4,3))=AA$2,"u","")</f>
        <v/>
      </c>
      <c r="AB4" s="7" t="str">
        <f t="shared" ref="AB4:AB10" si="24">IF(($C4-WEEKDAY($C4,3))=AB$2,"u","")</f>
        <v/>
      </c>
      <c r="AC4" s="7" t="str">
        <f t="shared" ref="AC4:AC10" si="25">IF(($C4-WEEKDAY($C4,3))=AC$2,"u","")</f>
        <v/>
      </c>
      <c r="AD4" s="7" t="str">
        <f t="shared" ref="AD4:AD10" si="26">IF(($C4-WEEKDAY($C4,3))=AD$2,"u","")</f>
        <v/>
      </c>
      <c r="AE4" s="7" t="str">
        <f t="shared" ref="AE4:AE10" si="27">IF(($C4-WEEKDAY($C4,3))=AE$2,"u","")</f>
        <v/>
      </c>
      <c r="AF4" s="7" t="str">
        <f t="shared" ref="AF4:AF10" si="28">IF(($C4-WEEKDAY($C4,3))=AF$2,"u","")</f>
        <v/>
      </c>
      <c r="AG4" s="7" t="str">
        <f t="shared" ref="AG4:AG10" si="29">IF(($C4-WEEKDAY($C4,3))=AG$2,"u","")</f>
        <v/>
      </c>
      <c r="AH4" s="7" t="str">
        <f t="shared" ref="AH4:AH10" si="30">IF(($C4-WEEKDAY($C4,3))=AH$2,"u","")</f>
        <v/>
      </c>
      <c r="AI4" s="7" t="str">
        <f t="shared" ref="AI4:AI10" si="31">IF(($C4-WEEKDAY($C4,3))=AI$2,"u","")</f>
        <v/>
      </c>
      <c r="AJ4" s="7" t="str">
        <f t="shared" ref="AJ4:AJ10" si="32">IF(($C4-WEEKDAY($C4,3))=AJ$2,"u","")</f>
        <v/>
      </c>
      <c r="AK4" s="7" t="str">
        <f t="shared" ref="AK4:AK10" si="33">IF(($C4-WEEKDAY($C4,3))=AK$2,"u","")</f>
        <v/>
      </c>
    </row>
    <row r="5" spans="1:37">
      <c r="A5" s="3" t="s">
        <v>7</v>
      </c>
      <c r="B5" s="4">
        <v>45923</v>
      </c>
      <c r="C5" s="4">
        <v>45973</v>
      </c>
      <c r="D5" s="5">
        <v>0.99</v>
      </c>
      <c r="F5" s="7" t="str">
        <f t="shared" si="3"/>
        <v/>
      </c>
      <c r="G5" s="7" t="str">
        <f t="shared" si="4"/>
        <v/>
      </c>
      <c r="H5" s="7" t="str">
        <f t="shared" si="5"/>
        <v/>
      </c>
      <c r="I5" s="7" t="str">
        <f t="shared" ref="I4:I10" si="34">IF(($C5-WEEKDAY($C5,3))=I$2,"u","")</f>
        <v/>
      </c>
      <c r="J5" s="7" t="str">
        <f t="shared" si="6"/>
        <v/>
      </c>
      <c r="K5" s="7" t="str">
        <f t="shared" si="7"/>
        <v/>
      </c>
      <c r="L5" s="7" t="str">
        <f t="shared" si="8"/>
        <v/>
      </c>
      <c r="M5" s="7" t="str">
        <f t="shared" si="9"/>
        <v/>
      </c>
      <c r="N5" s="7" t="str">
        <f t="shared" si="10"/>
        <v/>
      </c>
      <c r="O5" s="7" t="str">
        <f t="shared" si="11"/>
        <v/>
      </c>
      <c r="P5" s="7" t="str">
        <f t="shared" si="12"/>
        <v>u</v>
      </c>
      <c r="Q5" s="7" t="str">
        <f t="shared" si="13"/>
        <v/>
      </c>
      <c r="R5" s="7" t="str">
        <f t="shared" si="14"/>
        <v/>
      </c>
      <c r="S5" s="7" t="str">
        <f t="shared" si="15"/>
        <v/>
      </c>
      <c r="T5" s="7" t="str">
        <f t="shared" si="16"/>
        <v/>
      </c>
      <c r="U5" s="7" t="str">
        <f t="shared" si="17"/>
        <v/>
      </c>
      <c r="V5" s="7" t="str">
        <f t="shared" si="18"/>
        <v/>
      </c>
      <c r="W5" s="7" t="str">
        <f t="shared" si="19"/>
        <v/>
      </c>
      <c r="X5" s="7" t="str">
        <f t="shared" si="20"/>
        <v/>
      </c>
      <c r="Y5" s="7" t="str">
        <f t="shared" si="21"/>
        <v/>
      </c>
      <c r="Z5" s="7" t="str">
        <f t="shared" si="22"/>
        <v/>
      </c>
      <c r="AA5" s="7" t="str">
        <f t="shared" si="23"/>
        <v/>
      </c>
      <c r="AB5" s="7" t="str">
        <f t="shared" si="24"/>
        <v/>
      </c>
      <c r="AC5" s="7" t="str">
        <f t="shared" si="25"/>
        <v/>
      </c>
      <c r="AD5" s="7" t="str">
        <f t="shared" si="26"/>
        <v/>
      </c>
      <c r="AE5" s="7" t="str">
        <f t="shared" si="27"/>
        <v/>
      </c>
      <c r="AF5" s="7" t="str">
        <f t="shared" si="28"/>
        <v/>
      </c>
      <c r="AG5" s="7" t="str">
        <f t="shared" si="29"/>
        <v/>
      </c>
      <c r="AH5" s="7" t="str">
        <f t="shared" si="30"/>
        <v/>
      </c>
      <c r="AI5" s="7" t="str">
        <f t="shared" si="31"/>
        <v/>
      </c>
      <c r="AJ5" s="7" t="str">
        <f t="shared" si="32"/>
        <v/>
      </c>
      <c r="AK5" s="7" t="str">
        <f t="shared" si="33"/>
        <v/>
      </c>
    </row>
    <row r="6" spans="1:37">
      <c r="A6" s="3" t="s">
        <v>8</v>
      </c>
      <c r="B6" s="4">
        <v>45930</v>
      </c>
      <c r="C6" s="4">
        <v>45986</v>
      </c>
      <c r="D6" s="5">
        <v>0</v>
      </c>
      <c r="F6" s="7" t="str">
        <f t="shared" si="3"/>
        <v/>
      </c>
      <c r="G6" s="7" t="str">
        <f t="shared" si="4"/>
        <v/>
      </c>
      <c r="H6" s="7" t="str">
        <f t="shared" si="5"/>
        <v/>
      </c>
      <c r="I6" s="7" t="str">
        <f t="shared" si="34"/>
        <v/>
      </c>
      <c r="J6" s="7" t="str">
        <f t="shared" si="6"/>
        <v/>
      </c>
      <c r="K6" s="7" t="str">
        <f t="shared" si="7"/>
        <v/>
      </c>
      <c r="L6" s="7" t="str">
        <f t="shared" si="8"/>
        <v/>
      </c>
      <c r="M6" s="7" t="str">
        <f t="shared" si="9"/>
        <v/>
      </c>
      <c r="N6" s="7" t="str">
        <f t="shared" si="10"/>
        <v/>
      </c>
      <c r="O6" s="7" t="str">
        <f t="shared" si="11"/>
        <v/>
      </c>
      <c r="P6" s="7" t="str">
        <f t="shared" si="12"/>
        <v/>
      </c>
      <c r="Q6" s="7" t="str">
        <f t="shared" si="13"/>
        <v/>
      </c>
      <c r="R6" s="7" t="str">
        <f t="shared" si="14"/>
        <v>u</v>
      </c>
      <c r="S6" s="7" t="str">
        <f t="shared" si="15"/>
        <v/>
      </c>
      <c r="T6" s="7" t="str">
        <f t="shared" si="16"/>
        <v/>
      </c>
      <c r="U6" s="7" t="str">
        <f t="shared" si="17"/>
        <v/>
      </c>
      <c r="V6" s="7" t="str">
        <f t="shared" si="18"/>
        <v/>
      </c>
      <c r="W6" s="7" t="str">
        <f t="shared" si="19"/>
        <v/>
      </c>
      <c r="X6" s="7" t="str">
        <f t="shared" si="20"/>
        <v/>
      </c>
      <c r="Y6" s="7" t="str">
        <f t="shared" si="21"/>
        <v/>
      </c>
      <c r="Z6" s="7" t="str">
        <f t="shared" si="22"/>
        <v/>
      </c>
      <c r="AA6" s="7" t="str">
        <f t="shared" si="23"/>
        <v/>
      </c>
      <c r="AB6" s="7" t="str">
        <f t="shared" si="24"/>
        <v/>
      </c>
      <c r="AC6" s="7" t="str">
        <f t="shared" si="25"/>
        <v/>
      </c>
      <c r="AD6" s="7" t="str">
        <f t="shared" si="26"/>
        <v/>
      </c>
      <c r="AE6" s="7" t="str">
        <f t="shared" si="27"/>
        <v/>
      </c>
      <c r="AF6" s="7" t="str">
        <f t="shared" si="28"/>
        <v/>
      </c>
      <c r="AG6" s="7" t="str">
        <f t="shared" si="29"/>
        <v/>
      </c>
      <c r="AH6" s="7" t="str">
        <f t="shared" si="30"/>
        <v/>
      </c>
      <c r="AI6" s="7" t="str">
        <f t="shared" si="31"/>
        <v/>
      </c>
      <c r="AJ6" s="7" t="str">
        <f t="shared" si="32"/>
        <v/>
      </c>
      <c r="AK6" s="7" t="str">
        <f t="shared" si="33"/>
        <v/>
      </c>
    </row>
    <row r="7" spans="1:37">
      <c r="A7" s="3" t="s">
        <v>9</v>
      </c>
      <c r="B7" s="4">
        <v>45941</v>
      </c>
      <c r="C7" s="4">
        <v>45986</v>
      </c>
      <c r="D7" s="5">
        <v>0</v>
      </c>
      <c r="F7" s="7" t="str">
        <f t="shared" si="3"/>
        <v/>
      </c>
      <c r="G7" s="7" t="str">
        <f t="shared" si="4"/>
        <v/>
      </c>
      <c r="H7" s="7" t="str">
        <f t="shared" si="5"/>
        <v/>
      </c>
      <c r="I7" s="7" t="str">
        <f t="shared" si="34"/>
        <v/>
      </c>
      <c r="J7" s="7" t="str">
        <f t="shared" si="6"/>
        <v/>
      </c>
      <c r="K7" s="7" t="str">
        <f t="shared" si="7"/>
        <v/>
      </c>
      <c r="L7" s="7" t="str">
        <f t="shared" si="8"/>
        <v/>
      </c>
      <c r="M7" s="7" t="str">
        <f t="shared" si="9"/>
        <v/>
      </c>
      <c r="N7" s="7" t="str">
        <f t="shared" si="10"/>
        <v/>
      </c>
      <c r="O7" s="7" t="str">
        <f t="shared" si="11"/>
        <v/>
      </c>
      <c r="P7" s="7" t="str">
        <f t="shared" si="12"/>
        <v/>
      </c>
      <c r="Q7" s="7" t="str">
        <f t="shared" si="13"/>
        <v/>
      </c>
      <c r="R7" s="7" t="str">
        <f t="shared" si="14"/>
        <v>u</v>
      </c>
      <c r="S7" s="7" t="str">
        <f t="shared" si="15"/>
        <v/>
      </c>
      <c r="T7" s="7" t="str">
        <f t="shared" si="16"/>
        <v/>
      </c>
      <c r="U7" s="7" t="str">
        <f t="shared" si="17"/>
        <v/>
      </c>
      <c r="V7" s="7" t="str">
        <f t="shared" si="18"/>
        <v/>
      </c>
      <c r="W7" s="7" t="str">
        <f t="shared" si="19"/>
        <v/>
      </c>
      <c r="X7" s="7" t="str">
        <f t="shared" si="20"/>
        <v/>
      </c>
      <c r="Y7" s="7" t="str">
        <f t="shared" si="21"/>
        <v/>
      </c>
      <c r="Z7" s="7" t="str">
        <f t="shared" si="22"/>
        <v/>
      </c>
      <c r="AA7" s="7" t="str">
        <f t="shared" si="23"/>
        <v/>
      </c>
      <c r="AB7" s="7" t="str">
        <f t="shared" si="24"/>
        <v/>
      </c>
      <c r="AC7" s="7" t="str">
        <f t="shared" si="25"/>
        <v/>
      </c>
      <c r="AD7" s="7" t="str">
        <f t="shared" si="26"/>
        <v/>
      </c>
      <c r="AE7" s="7" t="str">
        <f t="shared" si="27"/>
        <v/>
      </c>
      <c r="AF7" s="7" t="str">
        <f t="shared" si="28"/>
        <v/>
      </c>
      <c r="AG7" s="7" t="str">
        <f t="shared" si="29"/>
        <v/>
      </c>
      <c r="AH7" s="7" t="str">
        <f t="shared" si="30"/>
        <v/>
      </c>
      <c r="AI7" s="7" t="str">
        <f t="shared" si="31"/>
        <v/>
      </c>
      <c r="AJ7" s="7" t="str">
        <f t="shared" si="32"/>
        <v/>
      </c>
      <c r="AK7" s="7" t="str">
        <f t="shared" si="33"/>
        <v/>
      </c>
    </row>
    <row r="8" spans="1:37">
      <c r="A8" s="3" t="s">
        <v>10</v>
      </c>
      <c r="B8" s="4">
        <v>45972</v>
      </c>
      <c r="C8" s="4">
        <v>46053</v>
      </c>
      <c r="D8" s="5">
        <v>0</v>
      </c>
      <c r="F8" s="7" t="str">
        <f t="shared" si="3"/>
        <v/>
      </c>
      <c r="G8" s="7" t="str">
        <f t="shared" si="4"/>
        <v/>
      </c>
      <c r="H8" s="7" t="str">
        <f t="shared" si="5"/>
        <v/>
      </c>
      <c r="I8" s="7" t="str">
        <f t="shared" si="34"/>
        <v/>
      </c>
      <c r="J8" s="7" t="str">
        <f t="shared" si="6"/>
        <v/>
      </c>
      <c r="K8" s="7" t="str">
        <f t="shared" si="7"/>
        <v/>
      </c>
      <c r="L8" s="7" t="str">
        <f t="shared" si="8"/>
        <v/>
      </c>
      <c r="M8" s="7" t="str">
        <f t="shared" si="9"/>
        <v/>
      </c>
      <c r="N8" s="7" t="str">
        <f t="shared" si="10"/>
        <v/>
      </c>
      <c r="O8" s="7" t="str">
        <f t="shared" si="11"/>
        <v/>
      </c>
      <c r="P8" s="7" t="str">
        <f t="shared" si="12"/>
        <v/>
      </c>
      <c r="Q8" s="7" t="str">
        <f t="shared" si="13"/>
        <v/>
      </c>
      <c r="R8" s="7" t="str">
        <f t="shared" si="14"/>
        <v/>
      </c>
      <c r="S8" s="7" t="str">
        <f t="shared" si="15"/>
        <v/>
      </c>
      <c r="T8" s="7" t="str">
        <f t="shared" si="16"/>
        <v/>
      </c>
      <c r="U8" s="7" t="str">
        <f t="shared" si="17"/>
        <v/>
      </c>
      <c r="V8" s="7" t="str">
        <f t="shared" si="18"/>
        <v/>
      </c>
      <c r="W8" s="7" t="str">
        <f t="shared" si="19"/>
        <v/>
      </c>
      <c r="X8" s="7" t="str">
        <f t="shared" si="20"/>
        <v/>
      </c>
      <c r="Y8" s="7" t="str">
        <f t="shared" si="21"/>
        <v/>
      </c>
      <c r="Z8" s="7" t="str">
        <f t="shared" si="22"/>
        <v/>
      </c>
      <c r="AA8" s="7" t="str">
        <f t="shared" si="23"/>
        <v>u</v>
      </c>
      <c r="AB8" s="7" t="str">
        <f t="shared" si="24"/>
        <v/>
      </c>
      <c r="AC8" s="7" t="str">
        <f t="shared" si="25"/>
        <v/>
      </c>
      <c r="AD8" s="7" t="str">
        <f t="shared" si="26"/>
        <v/>
      </c>
      <c r="AE8" s="7" t="str">
        <f t="shared" si="27"/>
        <v/>
      </c>
      <c r="AF8" s="7" t="str">
        <f t="shared" si="28"/>
        <v/>
      </c>
      <c r="AG8" s="7" t="str">
        <f t="shared" si="29"/>
        <v/>
      </c>
      <c r="AH8" s="7" t="str">
        <f t="shared" si="30"/>
        <v/>
      </c>
      <c r="AI8" s="7" t="str">
        <f t="shared" si="31"/>
        <v/>
      </c>
      <c r="AJ8" s="7" t="str">
        <f t="shared" si="32"/>
        <v/>
      </c>
      <c r="AK8" s="7" t="str">
        <f t="shared" si="33"/>
        <v/>
      </c>
    </row>
    <row r="9" spans="1:37">
      <c r="A9" s="3" t="s">
        <v>11</v>
      </c>
      <c r="B9" s="4">
        <v>46054</v>
      </c>
      <c r="C9" s="4">
        <v>46096</v>
      </c>
      <c r="D9" s="5">
        <v>0</v>
      </c>
      <c r="F9" s="7" t="str">
        <f t="shared" si="3"/>
        <v/>
      </c>
      <c r="G9" s="7" t="str">
        <f t="shared" si="4"/>
        <v/>
      </c>
      <c r="H9" s="7" t="str">
        <f t="shared" si="5"/>
        <v/>
      </c>
      <c r="I9" s="7" t="str">
        <f t="shared" si="34"/>
        <v/>
      </c>
      <c r="J9" s="7" t="str">
        <f t="shared" si="6"/>
        <v/>
      </c>
      <c r="K9" s="7" t="str">
        <f t="shared" si="7"/>
        <v/>
      </c>
      <c r="L9" s="7" t="str">
        <f t="shared" si="8"/>
        <v/>
      </c>
      <c r="M9" s="7" t="str">
        <f t="shared" si="9"/>
        <v/>
      </c>
      <c r="N9" s="7" t="str">
        <f t="shared" si="10"/>
        <v/>
      </c>
      <c r="O9" s="7" t="str">
        <f t="shared" si="11"/>
        <v/>
      </c>
      <c r="P9" s="7" t="str">
        <f t="shared" si="12"/>
        <v/>
      </c>
      <c r="Q9" s="7" t="str">
        <f t="shared" si="13"/>
        <v/>
      </c>
      <c r="R9" s="7" t="str">
        <f t="shared" si="14"/>
        <v/>
      </c>
      <c r="S9" s="7" t="str">
        <f t="shared" si="15"/>
        <v/>
      </c>
      <c r="T9" s="7" t="str">
        <f t="shared" si="16"/>
        <v/>
      </c>
      <c r="U9" s="7" t="str">
        <f t="shared" si="17"/>
        <v/>
      </c>
      <c r="V9" s="7" t="str">
        <f t="shared" si="18"/>
        <v/>
      </c>
      <c r="W9" s="7" t="str">
        <f t="shared" si="19"/>
        <v/>
      </c>
      <c r="X9" s="7" t="str">
        <f t="shared" si="20"/>
        <v/>
      </c>
      <c r="Y9" s="7" t="str">
        <f t="shared" si="21"/>
        <v/>
      </c>
      <c r="Z9" s="7" t="str">
        <f t="shared" si="22"/>
        <v/>
      </c>
      <c r="AA9" s="7" t="str">
        <f t="shared" si="23"/>
        <v/>
      </c>
      <c r="AB9" s="7" t="str">
        <f t="shared" si="24"/>
        <v/>
      </c>
      <c r="AC9" s="7" t="str">
        <f t="shared" si="25"/>
        <v/>
      </c>
      <c r="AD9" s="7" t="str">
        <f t="shared" si="26"/>
        <v/>
      </c>
      <c r="AE9" s="7" t="str">
        <f t="shared" si="27"/>
        <v/>
      </c>
      <c r="AF9" s="7" t="str">
        <f t="shared" si="28"/>
        <v/>
      </c>
      <c r="AG9" s="7" t="str">
        <f t="shared" si="29"/>
        <v>u</v>
      </c>
      <c r="AH9" s="7" t="str">
        <f t="shared" si="30"/>
        <v/>
      </c>
      <c r="AI9" s="7" t="str">
        <f t="shared" si="31"/>
        <v/>
      </c>
      <c r="AJ9" s="7" t="str">
        <f t="shared" si="32"/>
        <v/>
      </c>
      <c r="AK9" s="7" t="str">
        <f t="shared" si="33"/>
        <v/>
      </c>
    </row>
    <row r="10" spans="1:37">
      <c r="A10" s="3" t="s">
        <v>12</v>
      </c>
      <c r="B10" s="4">
        <v>46053</v>
      </c>
      <c r="C10" s="4">
        <v>46118</v>
      </c>
      <c r="D10" s="5">
        <v>0.4</v>
      </c>
      <c r="F10" s="7" t="str">
        <f t="shared" si="3"/>
        <v/>
      </c>
      <c r="G10" s="7" t="str">
        <f t="shared" si="4"/>
        <v/>
      </c>
      <c r="H10" s="7" t="str">
        <f t="shared" si="5"/>
        <v/>
      </c>
      <c r="I10" s="7" t="str">
        <f t="shared" si="34"/>
        <v/>
      </c>
      <c r="J10" s="7" t="str">
        <f t="shared" si="6"/>
        <v/>
      </c>
      <c r="K10" s="7" t="str">
        <f t="shared" si="7"/>
        <v/>
      </c>
      <c r="L10" s="7" t="str">
        <f t="shared" si="8"/>
        <v/>
      </c>
      <c r="M10" s="7" t="str">
        <f t="shared" si="9"/>
        <v/>
      </c>
      <c r="N10" s="7" t="str">
        <f t="shared" si="10"/>
        <v/>
      </c>
      <c r="O10" s="7" t="str">
        <f t="shared" si="11"/>
        <v/>
      </c>
      <c r="P10" s="7" t="str">
        <f t="shared" si="12"/>
        <v/>
      </c>
      <c r="Q10" s="7" t="str">
        <f t="shared" si="13"/>
        <v/>
      </c>
      <c r="R10" s="7" t="str">
        <f t="shared" si="14"/>
        <v/>
      </c>
      <c r="S10" s="7" t="str">
        <f t="shared" si="15"/>
        <v/>
      </c>
      <c r="T10" s="7" t="str">
        <f t="shared" si="16"/>
        <v/>
      </c>
      <c r="U10" s="7" t="str">
        <f t="shared" si="17"/>
        <v/>
      </c>
      <c r="V10" s="7" t="str">
        <f t="shared" si="18"/>
        <v/>
      </c>
      <c r="W10" s="7" t="str">
        <f t="shared" si="19"/>
        <v/>
      </c>
      <c r="X10" s="7" t="str">
        <f t="shared" si="20"/>
        <v/>
      </c>
      <c r="Y10" s="7" t="str">
        <f t="shared" si="21"/>
        <v/>
      </c>
      <c r="Z10" s="7" t="str">
        <f t="shared" si="22"/>
        <v/>
      </c>
      <c r="AA10" s="7" t="str">
        <f t="shared" si="23"/>
        <v/>
      </c>
      <c r="AB10" s="7" t="str">
        <f t="shared" si="24"/>
        <v/>
      </c>
      <c r="AC10" s="7" t="str">
        <f t="shared" si="25"/>
        <v/>
      </c>
      <c r="AD10" s="7" t="str">
        <f t="shared" si="26"/>
        <v/>
      </c>
      <c r="AE10" s="7" t="str">
        <f t="shared" si="27"/>
        <v/>
      </c>
      <c r="AF10" s="7" t="str">
        <f t="shared" si="28"/>
        <v/>
      </c>
      <c r="AG10" s="7" t="str">
        <f t="shared" si="29"/>
        <v/>
      </c>
      <c r="AH10" s="7" t="str">
        <f t="shared" si="30"/>
        <v/>
      </c>
      <c r="AI10" s="7" t="str">
        <f t="shared" si="31"/>
        <v/>
      </c>
      <c r="AJ10" s="7" t="str">
        <f t="shared" si="32"/>
        <v/>
      </c>
      <c r="AK10" s="7" t="str">
        <f t="shared" si="33"/>
        <v>u</v>
      </c>
    </row>
  </sheetData>
  <conditionalFormatting sqref="F3:AK10">
    <cfRule type="expression" dxfId="0" priority="1">
      <formula>AND($D3&gt;0,F$2&lt;=($B3+($C3-$B3)*$D3)-WEEKDAY(($B3+($C3-$B3)*$D3),2)+1,F$2&lt;=$C3,F$2&gt;=$B3-WEEKDAY($C3,2)+1)</formula>
    </cfRule>
    <cfRule type="expression" dxfId="1" priority="2">
      <formula>AND(F$2&gt;=$B3-WEEKDAY($C3,2)+1,F$2&lt;=$C3)</formula>
    </cfRule>
    <cfRule type="expression" dxfId="2" priority="3">
      <formula>F$2=(TODAY()-WEEKDAY(TODAY(),3))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dadmo</dc:creator>
  <cp:lastModifiedBy>Максим Клименть�</cp:lastModifiedBy>
  <dcterms:created xsi:type="dcterms:W3CDTF">2025-09-30T16:15:00Z</dcterms:created>
  <dcterms:modified xsi:type="dcterms:W3CDTF">2025-11-12T16:59:24Z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C1F225EAA78A48FDA43CC5B21036C8B0_11</vt:lpwstr>
  </property>
  <property fmtid="{D5CDD505-2E9C-101B-9397-08002B2CF9AE}" pid="3" name="KSOProductBuildVer">
    <vt:lpwstr>2057-12.2.0.23149</vt:lpwstr>
  </property>
</Properties>
</file>